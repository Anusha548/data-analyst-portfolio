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8afa35bc3f7ef6/Documents/Anusha Projects/"/>
    </mc:Choice>
  </mc:AlternateContent>
  <xr:revisionPtr revIDLastSave="419" documentId="8_{121B9D53-2142-45F9-B663-1097A0509E12}" xr6:coauthVersionLast="47" xr6:coauthVersionMax="47" xr10:uidLastSave="{E427BF06-690F-415E-951A-4689A439A796}"/>
  <bookViews>
    <workbookView xWindow="-98" yWindow="-98" windowWidth="21795" windowHeight="12975" xr2:uid="{35C07A9B-EB7D-4E42-865A-91F173773A2D}"/>
  </bookViews>
  <sheets>
    <sheet name="R1 - Regional Performance" sheetId="3" r:id="rId1"/>
    <sheet name="R2 - Revenue Trend" sheetId="4" r:id="rId2"/>
    <sheet name="R3 - Customer Performance" sheetId="5" r:id="rId3"/>
    <sheet name="R4 - Customer Loss" sheetId="11" r:id="rId4"/>
    <sheet name="R5 - Product Performance" sheetId="6" r:id="rId5"/>
    <sheet name="R6 - Regional Profit" sheetId="7" r:id="rId6"/>
    <sheet name="R7 - Monthly Sales" sheetId="8" r:id="rId7"/>
    <sheet name="R8 - Category Revenue" sheetId="9" r:id="rId8"/>
    <sheet name="R9 - Cancellations" sheetId="12" r:id="rId9"/>
    <sheet name="R10 - Segment Sales" sheetId="13" r:id="rId10"/>
    <sheet name="Week_1 Practice" sheetId="1" r:id="rId11"/>
    <sheet name="Week_2 Day1 Practice" sheetId="10" r:id="rId12"/>
  </sheet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0" l="1"/>
  <c r="N28" i="10"/>
  <c r="L7" i="10"/>
  <c r="L4" i="10"/>
  <c r="L2" i="10"/>
  <c r="L6" i="10"/>
  <c r="L3" i="10"/>
  <c r="L5" i="10"/>
  <c r="K7" i="10"/>
  <c r="K4" i="10"/>
  <c r="K2" i="10"/>
  <c r="K6" i="10"/>
  <c r="K3" i="10"/>
  <c r="K5" i="10"/>
  <c r="J7" i="10"/>
  <c r="J4" i="10"/>
  <c r="J2" i="10"/>
  <c r="J6" i="10"/>
  <c r="J3" i="10"/>
  <c r="J5" i="10"/>
  <c r="N25" i="10"/>
  <c r="N24" i="10"/>
  <c r="N23" i="10"/>
  <c r="N22" i="10"/>
  <c r="N21" i="10"/>
</calcChain>
</file>

<file path=xl/sharedStrings.xml><?xml version="1.0" encoding="utf-8"?>
<sst xmlns="http://schemas.openxmlformats.org/spreadsheetml/2006/main" count="520" uniqueCount="77">
  <si>
    <t>Order_ID</t>
  </si>
  <si>
    <t>Order_Date</t>
  </si>
  <si>
    <t>Customer</t>
  </si>
  <si>
    <t>Region</t>
  </si>
  <si>
    <t>Product</t>
  </si>
  <si>
    <t>Category</t>
  </si>
  <si>
    <t>Sales</t>
  </si>
  <si>
    <t>Profit</t>
  </si>
  <si>
    <t>Quantity</t>
  </si>
  <si>
    <t>Anil</t>
  </si>
  <si>
    <t>South</t>
  </si>
  <si>
    <t>Laptop</t>
  </si>
  <si>
    <t>Electronics</t>
  </si>
  <si>
    <t>Priya</t>
  </si>
  <si>
    <t>North</t>
  </si>
  <si>
    <t>Phone</t>
  </si>
  <si>
    <t>Ravi</t>
  </si>
  <si>
    <t>East</t>
  </si>
  <si>
    <t>Chair</t>
  </si>
  <si>
    <t>Furniture</t>
  </si>
  <si>
    <t>Sneha</t>
  </si>
  <si>
    <t>Arun</t>
  </si>
  <si>
    <t>West</t>
  </si>
  <si>
    <t>Table</t>
  </si>
  <si>
    <t>Monitor</t>
  </si>
  <si>
    <t>Row Labels</t>
  </si>
  <si>
    <t>Grand Total</t>
  </si>
  <si>
    <t>Sum of Sales</t>
  </si>
  <si>
    <t>Jan</t>
  </si>
  <si>
    <t>Feb</t>
  </si>
  <si>
    <t>Sum of Profit</t>
  </si>
  <si>
    <t>0</t>
  </si>
  <si>
    <t>Total sales</t>
  </si>
  <si>
    <t>COUNTA</t>
  </si>
  <si>
    <t>COUNT</t>
  </si>
  <si>
    <t>Profit Margin</t>
  </si>
  <si>
    <t>Profit Status</t>
  </si>
  <si>
    <t>Order Size</t>
  </si>
  <si>
    <t>Min Profit</t>
  </si>
  <si>
    <t>Max Profit</t>
  </si>
  <si>
    <t xml:space="preserve"> Average sales</t>
  </si>
  <si>
    <t>Average profit</t>
  </si>
  <si>
    <t>Min Sales</t>
  </si>
  <si>
    <t>Max Sales</t>
  </si>
  <si>
    <t>Total profit</t>
  </si>
  <si>
    <t>EXCEL ANALYSIS</t>
  </si>
  <si>
    <t>Answer / Insight</t>
  </si>
  <si>
    <t>South generates the highest sales with ₹105,000.</t>
  </si>
  <si>
    <r>
      <t xml:space="preserve">Sales increased from </t>
    </r>
    <r>
      <rPr>
        <b/>
        <sz val="11"/>
        <color theme="1"/>
        <rFont val="Aptos Narrow"/>
        <family val="2"/>
        <scheme val="minor"/>
      </rPr>
      <t>₹92,000 in January to ₹93,000 in February</t>
    </r>
    <r>
      <rPr>
        <sz val="11"/>
        <color theme="1"/>
        <rFont val="Aptos Narrow"/>
        <family val="2"/>
        <scheme val="minor"/>
      </rPr>
      <t>, an increase of ₹1,000.</t>
    </r>
  </si>
  <si>
    <t>Sneha generated the highest total sales with ₹55,000.</t>
  </si>
  <si>
    <r>
      <t>R1: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Which region is performing well?</t>
    </r>
  </si>
  <si>
    <r>
      <t>R2: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Revenue is decreasing</t>
    </r>
  </si>
  <si>
    <r>
      <t>R3: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Find best customers</t>
    </r>
  </si>
  <si>
    <r>
      <t>R5: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Products performing well</t>
    </r>
  </si>
  <si>
    <r>
      <t>R6: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Region generating most profit</t>
    </r>
  </si>
  <si>
    <r>
      <t>R7: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Month with highest sales</t>
    </r>
  </si>
  <si>
    <r>
      <t>R8: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Category contributes most revenue</t>
    </r>
  </si>
  <si>
    <t>Cannot determine why customers are leaving from the available data.</t>
  </si>
  <si>
    <t>Data Limitation:</t>
  </si>
  <si>
    <t>The dataset contains only 6 rows and does not provide sufficient</t>
  </si>
  <si>
    <t>customer status, cancellation, or inactivity information to determine</t>
  </si>
  <si>
    <t>why customers are leaving.</t>
  </si>
  <si>
    <r>
      <t>R9: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Where are cancellations highest?</t>
    </r>
  </si>
  <si>
    <r>
      <t>R10: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Customer segment with highest sales</t>
    </r>
  </si>
  <si>
    <t>Laptop has the highest sales with ₹105,000.</t>
  </si>
  <si>
    <t>South generates the highest total profit with ₹17,000</t>
  </si>
  <si>
    <t>February had the highest sales with ₹93,000.</t>
  </si>
  <si>
    <t>Electronics contributes the highest sales with ₹153,000.</t>
  </si>
  <si>
    <t>Cannot determine a reliable regional cancellation pattern from the available data.</t>
  </si>
  <si>
    <t>The dataset contains only 6 rows and does not contain enough</t>
  </si>
  <si>
    <t>cancellation records across regions for a meaningful comparison.</t>
  </si>
  <si>
    <t>Cannot determine the highest-performing customer segment because sufficient customer-segment data is not available.</t>
  </si>
  <si>
    <t>The dataset contains only 6 rows and does not include sufficient</t>
  </si>
  <si>
    <t>customer segment information for a meaningful comparison.</t>
  </si>
  <si>
    <t>DATASET</t>
  </si>
  <si>
    <r>
      <rPr>
        <b/>
        <sz val="11"/>
        <color theme="1"/>
        <rFont val="Aptos Narrow"/>
        <family val="2"/>
        <scheme val="minor"/>
      </rPr>
      <t xml:space="preserve">R4: </t>
    </r>
    <r>
      <rPr>
        <sz val="11"/>
        <color theme="1"/>
        <rFont val="Aptos Narrow"/>
        <family val="2"/>
        <scheme val="minor"/>
      </rPr>
      <t>Request Question → Why are customers leaving?</t>
    </r>
  </si>
  <si>
    <t>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</si>
</sst>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1" fillId="0" borderId="0" xfId="1" applyFont="1" applyAlignment="1">
      <alignment horizontal="center"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left" vertical="center" indent="1"/>
    </xf>
    <xf numFmtId="0" fontId="1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14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[Week_1_Mini_Project.xlsx]R1 - Regional Performance!PivotTable2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'R1 - Regional Performance'!$B$15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'R1 - Regional Performance'!$A$16:$A$20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'R1 - Regional Performance'!$B$16:$B$20</c:f>
              <c:numCache>
                <c:formatCode>General</c:formatCode>
                <c:ptCount val="4"/>
                <c:pt idx="0">
                  <c:v>12000</c:v>
                </c:pt>
                <c:pt idx="1">
                  <c:v>48000</c:v>
                </c:pt>
                <c:pt idx="2">
                  <c:v>105000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5-44A4-A8BF-828F1269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1248207"/>
        <c:axId val="469926735"/>
        <c:axId val="0"/>
      </c:bar3DChart>
      <c:catAx>
        <c:axId val="48124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26735"/>
        <c:crosses val="autoZero"/>
        <c:auto val="1"/>
        <c:lblAlgn val="ctr"/>
        <c:lblOffset val="100"/>
        <c:noMultiLvlLbl val="0"/>
      </c:catAx>
      <c:valAx>
        <c:axId val="46992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24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[Week_1_Mini_Project.xlsx]R2 - Revenue Trend!PivotTable1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'R2 - Revenue Trend'!$B$15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'R2 - Revenue Trend'!$A$16:$A$18</c:f>
              <c:strCache>
                <c:ptCount val="2"/>
                <c:pt idx="0">
                  <c:v>Feb</c:v>
                </c:pt>
                <c:pt idx="1">
                  <c:v>Jan</c:v>
                </c:pt>
              </c:strCache>
            </c:strRef>
          </c:cat>
          <c:val>
            <c:numRef>
              <c:f>'R2 - Revenue Trend'!$B$16:$B$18</c:f>
              <c:numCache>
                <c:formatCode>General</c:formatCode>
                <c:ptCount val="2"/>
                <c:pt idx="0">
                  <c:v>93000</c:v>
                </c:pt>
                <c:pt idx="1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A-4A6E-8983-0A4BEAFD5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9925040"/>
        <c:axId val="1931300880"/>
        <c:axId val="0"/>
      </c:bar3DChart>
      <c:catAx>
        <c:axId val="192992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00880"/>
        <c:crosses val="autoZero"/>
        <c:auto val="1"/>
        <c:lblAlgn val="ctr"/>
        <c:lblOffset val="100"/>
        <c:noMultiLvlLbl val="0"/>
      </c:catAx>
      <c:valAx>
        <c:axId val="19313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2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[Week_1_Mini_Project.xlsx]R3 - Customer Performance!PivotTable2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'R3 - Customer Performance'!$B$15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'R3 - Customer Performance'!$A$16:$A$21</c:f>
              <c:strCache>
                <c:ptCount val="5"/>
                <c:pt idx="0">
                  <c:v>Sneha</c:v>
                </c:pt>
                <c:pt idx="1">
                  <c:v>Anil</c:v>
                </c:pt>
                <c:pt idx="2">
                  <c:v>Priya</c:v>
                </c:pt>
                <c:pt idx="3">
                  <c:v>Arun</c:v>
                </c:pt>
                <c:pt idx="4">
                  <c:v>Ravi</c:v>
                </c:pt>
              </c:strCache>
            </c:strRef>
          </c:cat>
          <c:val>
            <c:numRef>
              <c:f>'R3 - Customer Performance'!$B$16:$B$21</c:f>
              <c:numCache>
                <c:formatCode>General</c:formatCode>
                <c:ptCount val="5"/>
                <c:pt idx="0">
                  <c:v>55000</c:v>
                </c:pt>
                <c:pt idx="1">
                  <c:v>50000</c:v>
                </c:pt>
                <c:pt idx="2">
                  <c:v>48000</c:v>
                </c:pt>
                <c:pt idx="3">
                  <c:v>20000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7-4373-A201-EFA9DC10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5291712"/>
        <c:axId val="1931253840"/>
        <c:axId val="0"/>
      </c:bar3DChart>
      <c:catAx>
        <c:axId val="18952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253840"/>
        <c:crosses val="autoZero"/>
        <c:auto val="1"/>
        <c:lblAlgn val="ctr"/>
        <c:lblOffset val="100"/>
        <c:noMultiLvlLbl val="0"/>
      </c:catAx>
      <c:valAx>
        <c:axId val="193125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[Week_1_Mini_Project.xlsx]R5 - Product Performance!PivotTable3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'R5 - Product Performance'!$B$15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'R5 - Product Performance'!$A$16:$A$21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Monitor</c:v>
                </c:pt>
                <c:pt idx="4">
                  <c:v>Chair</c:v>
                </c:pt>
              </c:strCache>
            </c:strRef>
          </c:cat>
          <c:val>
            <c:numRef>
              <c:f>'R5 - Product Performance'!$B$16:$B$21</c:f>
              <c:numCache>
                <c:formatCode>General</c:formatCode>
                <c:ptCount val="5"/>
                <c:pt idx="0">
                  <c:v>105000</c:v>
                </c:pt>
                <c:pt idx="1">
                  <c:v>30000</c:v>
                </c:pt>
                <c:pt idx="2">
                  <c:v>20000</c:v>
                </c:pt>
                <c:pt idx="3">
                  <c:v>18000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5-45CA-A7A5-4680EAF0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7326576"/>
        <c:axId val="1931347440"/>
        <c:axId val="0"/>
      </c:bar3DChart>
      <c:catAx>
        <c:axId val="2017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47440"/>
        <c:crosses val="autoZero"/>
        <c:auto val="1"/>
        <c:lblAlgn val="ctr"/>
        <c:lblOffset val="100"/>
        <c:noMultiLvlLbl val="0"/>
      </c:catAx>
      <c:valAx>
        <c:axId val="19313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[Week_1_Mini_Project.xlsx]R6 - Regional Profit!PivotTable4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'R6 - Regional Profit'!$B$15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'R6 - Regional Profit'!$A$16:$A$20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'R6 - Regional Profit'!$B$16:$B$20</c:f>
              <c:numCache>
                <c:formatCode>General</c:formatCode>
                <c:ptCount val="4"/>
                <c:pt idx="0">
                  <c:v>17000</c:v>
                </c:pt>
                <c:pt idx="1">
                  <c:v>8000</c:v>
                </c:pt>
                <c:pt idx="2">
                  <c:v>3500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C-401F-854E-3CF25433E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2821696"/>
        <c:axId val="1931364240"/>
        <c:axId val="0"/>
      </c:bar3DChart>
      <c:catAx>
        <c:axId val="202282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64240"/>
        <c:crosses val="autoZero"/>
        <c:auto val="1"/>
        <c:lblAlgn val="ctr"/>
        <c:lblOffset val="100"/>
        <c:noMultiLvlLbl val="0"/>
      </c:catAx>
      <c:valAx>
        <c:axId val="193136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2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[Week_1_Mini_Project.xlsx]R7 - Monthly Sales!PivotTable5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'R7 - Monthly Sales'!$B$15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'R7 - Monthly Sales'!$A$16:$A$18</c:f>
              <c:strCache>
                <c:ptCount val="2"/>
                <c:pt idx="0">
                  <c:v>Feb</c:v>
                </c:pt>
                <c:pt idx="1">
                  <c:v>Jan</c:v>
                </c:pt>
              </c:strCache>
            </c:strRef>
          </c:cat>
          <c:val>
            <c:numRef>
              <c:f>'R7 - Monthly Sales'!$B$16:$B$18</c:f>
              <c:numCache>
                <c:formatCode>General</c:formatCode>
                <c:ptCount val="2"/>
                <c:pt idx="0">
                  <c:v>93000</c:v>
                </c:pt>
                <c:pt idx="1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A-4836-AB26-2FEFCBA7C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9912048"/>
        <c:axId val="1931315280"/>
        <c:axId val="0"/>
      </c:bar3DChart>
      <c:catAx>
        <c:axId val="192991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15280"/>
        <c:crosses val="autoZero"/>
        <c:auto val="1"/>
        <c:lblAlgn val="ctr"/>
        <c:lblOffset val="100"/>
        <c:noMultiLvlLbl val="0"/>
      </c:catAx>
      <c:valAx>
        <c:axId val="19313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1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[Week_1_Mini_Project.xlsx]R8 - Category Revenue!PivotTable6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'R8 - Category Revenue'!$B$15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'R8 - Category Revenue'!$A$16:$A$21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Monitor</c:v>
                </c:pt>
                <c:pt idx="4">
                  <c:v>Chair</c:v>
                </c:pt>
              </c:strCache>
            </c:strRef>
          </c:cat>
          <c:val>
            <c:numRef>
              <c:f>'R8 - Category Revenue'!$B$16:$B$21</c:f>
              <c:numCache>
                <c:formatCode>General</c:formatCode>
                <c:ptCount val="5"/>
                <c:pt idx="0">
                  <c:v>105000</c:v>
                </c:pt>
                <c:pt idx="1">
                  <c:v>30000</c:v>
                </c:pt>
                <c:pt idx="2">
                  <c:v>20000</c:v>
                </c:pt>
                <c:pt idx="3">
                  <c:v>18000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8-4184-B9EE-8EA6A901B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4339408"/>
        <c:axId val="1931374320"/>
        <c:axId val="0"/>
      </c:bar3DChart>
      <c:catAx>
        <c:axId val="195433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74320"/>
        <c:crosses val="autoZero"/>
        <c:auto val="1"/>
        <c:lblAlgn val="ctr"/>
        <c:lblOffset val="100"/>
        <c:noMultiLvlLbl val="0"/>
      </c:catAx>
      <c:valAx>
        <c:axId val="19313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638175</xdr:colOff>
      <xdr:row>39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A08BC6-846B-4B76-857F-A1C248041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4763</xdr:rowOff>
    </xdr:from>
    <xdr:to>
      <xdr:col>6</xdr:col>
      <xdr:colOff>35720</xdr:colOff>
      <xdr:row>35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24A7B-091E-EBF5-E0BD-CCEADE1FC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19051</xdr:rowOff>
    </xdr:from>
    <xdr:to>
      <xdr:col>6</xdr:col>
      <xdr:colOff>342900</xdr:colOff>
      <xdr:row>39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65FB0-617F-E4B4-EC89-3E8C45257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161925</xdr:rowOff>
    </xdr:from>
    <xdr:to>
      <xdr:col>6</xdr:col>
      <xdr:colOff>342900</xdr:colOff>
      <xdr:row>39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886CB-673B-4E6C-F4AC-852F4C4FF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14288</xdr:rowOff>
    </xdr:from>
    <xdr:to>
      <xdr:col>6</xdr:col>
      <xdr:colOff>204787</xdr:colOff>
      <xdr:row>37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67F29-F870-9AE8-7168-6C5D1CDE7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166687</xdr:rowOff>
    </xdr:from>
    <xdr:to>
      <xdr:col>6</xdr:col>
      <xdr:colOff>342900</xdr:colOff>
      <xdr:row>36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4ED9E-FBBC-A685-874C-3EAE35E19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24</xdr:row>
      <xdr:rowOff>66675</xdr:rowOff>
    </xdr:from>
    <xdr:to>
      <xdr:col>6</xdr:col>
      <xdr:colOff>185739</xdr:colOff>
      <xdr:row>38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4B70C-041A-B38F-6528-370974585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 RD" refreshedDate="46293.445113657406" createdVersion="8" refreshedVersion="8" minRefreshableVersion="3" recordCount="13" xr:uid="{5A849CFA-AAA8-4DA4-A998-555F82ECD255}">
  <cacheSource type="worksheet">
    <worksheetSource ref="A1:I1048576" sheet="Week_1 Practice"/>
  </cacheSource>
  <cacheFields count="11">
    <cacheField name="Order_ID" numFmtId="0">
      <sharedItems containsString="0" containsBlank="1" containsNumber="1" containsInteger="1" minValue="1001" maxValue="1006"/>
    </cacheField>
    <cacheField name="Order_Date" numFmtId="14">
      <sharedItems containsNonDate="0" containsDate="1" containsString="0" containsBlank="1" minDate="2026-01-05T00:00:00" maxDate="2026-02-19T00:00:00" count="7">
        <d v="2026-01-05T00:00:00"/>
        <d v="2026-01-08T00:00:00"/>
        <d v="2026-01-15T00:00:00"/>
        <d v="2026-02-03T00:00:00"/>
        <d v="2026-02-10T00:00:00"/>
        <d v="2026-02-18T00:00:00"/>
        <m/>
      </sharedItems>
      <fieldGroup par="10"/>
    </cacheField>
    <cacheField name="Customer" numFmtId="0">
      <sharedItems containsBlank="1" count="6">
        <s v="Anil"/>
        <s v="Priya"/>
        <s v="Ravi"/>
        <s v="Sneha"/>
        <s v="Arun"/>
        <m/>
      </sharedItems>
    </cacheField>
    <cacheField name="Region" numFmtId="0">
      <sharedItems containsBlank="1" count="5">
        <s v="South"/>
        <s v="North"/>
        <s v="East"/>
        <s v="West"/>
        <m/>
      </sharedItems>
    </cacheField>
    <cacheField name="Product" numFmtId="0">
      <sharedItems containsBlank="1" count="6">
        <s v="Laptop"/>
        <s v="Phone"/>
        <s v="Chair"/>
        <s v="Table"/>
        <s v="Monitor"/>
        <m/>
      </sharedItems>
    </cacheField>
    <cacheField name="Category" numFmtId="0">
      <sharedItems containsBlank="1"/>
    </cacheField>
    <cacheField name="Sales" numFmtId="0">
      <sharedItems containsString="0" containsBlank="1" containsNumber="1" containsInteger="1" minValue="12000" maxValue="55000"/>
    </cacheField>
    <cacheField name="Profit" numFmtId="0">
      <sharedItems containsString="0" containsBlank="1" containsNumber="1" containsInteger="1" minValue="2500" maxValue="9000"/>
    </cacheField>
    <cacheField name="Quantity" numFmtId="0">
      <sharedItems containsString="0" containsBlank="1" containsNumber="1" containsInteger="1" minValue="2" maxValue="5"/>
    </cacheField>
    <cacheField name="Days (Order_Date)" numFmtId="0" databaseField="0">
      <fieldGroup base="1">
        <rangePr groupBy="days" startDate="2026-01-05T00:00:00" endDate="2026-02-19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02-2026"/>
        </groupItems>
      </fieldGroup>
    </cacheField>
    <cacheField name="Months (Order_Date)" numFmtId="0" databaseField="0">
      <fieldGroup base="1">
        <rangePr groupBy="months" startDate="2026-01-05T00:00:00" endDate="2026-02-19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01"/>
    <x v="0"/>
    <x v="0"/>
    <x v="0"/>
    <x v="0"/>
    <s v="Electronics"/>
    <n v="50000"/>
    <n v="8000"/>
    <n v="2"/>
  </r>
  <r>
    <n v="1002"/>
    <x v="1"/>
    <x v="1"/>
    <x v="1"/>
    <x v="1"/>
    <s v="Electronics"/>
    <n v="30000"/>
    <n v="5000"/>
    <n v="3"/>
  </r>
  <r>
    <n v="1003"/>
    <x v="2"/>
    <x v="2"/>
    <x v="2"/>
    <x v="2"/>
    <s v="Furniture"/>
    <n v="12000"/>
    <n v="2500"/>
    <n v="4"/>
  </r>
  <r>
    <n v="1004"/>
    <x v="3"/>
    <x v="3"/>
    <x v="0"/>
    <x v="0"/>
    <s v="Electronics"/>
    <n v="55000"/>
    <n v="9000"/>
    <n v="2"/>
  </r>
  <r>
    <n v="1005"/>
    <x v="4"/>
    <x v="4"/>
    <x v="3"/>
    <x v="3"/>
    <s v="Furniture"/>
    <n v="20000"/>
    <n v="3500"/>
    <n v="5"/>
  </r>
  <r>
    <n v="1006"/>
    <x v="5"/>
    <x v="1"/>
    <x v="1"/>
    <x v="4"/>
    <s v="Electronics"/>
    <n v="18000"/>
    <n v="3000"/>
    <n v="2"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F018B-8F4A-424F-88D9-919BC98245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5:B20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DFBDE-BC39-4EB4-B3E5-47FA1569CA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18" firstHeaderRow="1" firstDataRow="1" firstDataCol="1"/>
  <pivotFields count="11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0"/>
    <field x="9"/>
    <field x="1"/>
  </rowFields>
  <rowItems count="3">
    <i>
      <x v="2"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67628-F931-4D48-9768-74E5E0EE47B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1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sortType="descending">
      <items count="7">
        <item x="0"/>
        <item x="4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B82E2-5C7E-4EB1-B18C-07EC8E6919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21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sortType="descending">
      <items count="7"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Sales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BE887-CC2D-4081-BDF8-71E8CF95EC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0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sortType="descending">
      <items count="6">
        <item x="2"/>
        <item x="1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" fld="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0F4A6-9F50-47B8-8194-F37002C782C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18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axis="axisRow" showAll="0" sortType="descending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3">
    <i>
      <x v="2"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FAB53-25F5-40A3-BE0D-8B61A754FC7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1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sortType="descending">
      <items count="7"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E765C-4FCE-4D61-ACCE-7558FC217361}" name="SalesData" displayName="SalesData" ref="A1:L7" totalsRowShown="0" headerRowDxfId="13" dataDxfId="12">
  <autoFilter ref="A1:L7" xr:uid="{CE6E765C-4FCE-4D61-ACCE-7558FC217361}"/>
  <sortState xmlns:xlrd2="http://schemas.microsoft.com/office/spreadsheetml/2017/richdata2" ref="A2:L7">
    <sortCondition descending="1" ref="J1:J7"/>
  </sortState>
  <tableColumns count="12">
    <tableColumn id="1" xr3:uid="{344DDABD-BE38-462F-BDBC-542CF8ED1442}" name="Order_ID" dataDxfId="11"/>
    <tableColumn id="2" xr3:uid="{412C731A-92FF-48E9-B39D-6AB1E394F0FE}" name="Order_Date" dataDxfId="10"/>
    <tableColumn id="3" xr3:uid="{8664A40C-ACC9-4B0F-84BB-8EFB7824660C}" name="Customer" dataDxfId="9"/>
    <tableColumn id="4" xr3:uid="{B39DB399-F212-4D0D-9EAD-980225827364}" name="Region" dataDxfId="8"/>
    <tableColumn id="5" xr3:uid="{26C9C960-F0F1-4BE1-BCAD-BD556BDF8821}" name="0" dataDxfId="7"/>
    <tableColumn id="6" xr3:uid="{0945F524-28BA-43A9-92A2-22DE6646D454}" name="Category" dataDxfId="6"/>
    <tableColumn id="7" xr3:uid="{CF500819-FB15-4585-8D51-EB91FFA91814}" name="Sales" dataDxfId="5"/>
    <tableColumn id="8" xr3:uid="{9FAFE94A-2CC5-4B28-A5E6-F8424A163F63}" name="Profit" dataDxfId="4"/>
    <tableColumn id="9" xr3:uid="{8987E2E0-8D77-4171-A023-8DB73AD65053}" name="Quantity" dataDxfId="3"/>
    <tableColumn id="10" xr3:uid="{BBD74622-FDC0-4449-B516-758968CDB466}" name="Profit Margin" dataDxfId="2" dataCellStyle="Percent">
      <calculatedColumnFormula>H2/G2</calculatedColumnFormula>
    </tableColumn>
    <tableColumn id="11" xr3:uid="{27F2D128-9809-4237-ACAA-51D14F13CE9B}" name="Profit Status" dataDxfId="1">
      <calculatedColumnFormula>IF(H2&gt;0, "Profitable", "Loss")</calculatedColumnFormula>
    </tableColumn>
    <tableColumn id="12" xr3:uid="{8C7101E6-8127-4C96-BBE1-11CF0CD14BD9}" name="Order Size" dataDxfId="0">
      <calculatedColumnFormula>IF(I2&gt;=5, "Large Order", "Small Order")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9864-C540-4974-BF5C-91F66F1A6F41}">
  <dimension ref="A1:I45"/>
  <sheetViews>
    <sheetView tabSelected="1" workbookViewId="0">
      <selection activeCell="K20" sqref="K20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50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45</v>
      </c>
    </row>
    <row r="15" spans="1:9">
      <c r="A15" s="6" t="s">
        <v>25</v>
      </c>
      <c r="B15" t="s">
        <v>27</v>
      </c>
    </row>
    <row r="16" spans="1:9">
      <c r="A16" s="7" t="s">
        <v>17</v>
      </c>
      <c r="B16">
        <v>12000</v>
      </c>
    </row>
    <row r="17" spans="1:2">
      <c r="A17" s="7" t="s">
        <v>14</v>
      </c>
      <c r="B17">
        <v>48000</v>
      </c>
    </row>
    <row r="18" spans="1:2">
      <c r="A18" s="7" t="s">
        <v>10</v>
      </c>
      <c r="B18">
        <v>105000</v>
      </c>
    </row>
    <row r="19" spans="1:2">
      <c r="A19" s="7" t="s">
        <v>22</v>
      </c>
      <c r="B19">
        <v>20000</v>
      </c>
    </row>
    <row r="20" spans="1:2">
      <c r="A20" s="7" t="s">
        <v>26</v>
      </c>
      <c r="B20">
        <v>185000</v>
      </c>
    </row>
    <row r="24" spans="1:2">
      <c r="A24" s="13" t="s">
        <v>76</v>
      </c>
    </row>
    <row r="44" spans="1:1">
      <c r="A44" s="13" t="s">
        <v>46</v>
      </c>
    </row>
    <row r="45" spans="1:1">
      <c r="A45" s="12" t="s">
        <v>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3B13-909E-427B-AE4C-C5ABC99BD180}">
  <dimension ref="A1:I40"/>
  <sheetViews>
    <sheetView workbookViewId="0">
      <selection activeCell="G44" sqref="G44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51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45</v>
      </c>
    </row>
    <row r="15" spans="1:9">
      <c r="A15" s="6" t="s">
        <v>25</v>
      </c>
      <c r="B15" t="s">
        <v>27</v>
      </c>
    </row>
    <row r="16" spans="1:9">
      <c r="A16" s="7" t="s">
        <v>29</v>
      </c>
      <c r="B16">
        <v>93000</v>
      </c>
    </row>
    <row r="17" spans="1:2">
      <c r="A17" s="7" t="s">
        <v>28</v>
      </c>
      <c r="B17">
        <v>92000</v>
      </c>
    </row>
    <row r="18" spans="1:2">
      <c r="A18" s="7" t="s">
        <v>26</v>
      </c>
      <c r="B18">
        <v>185000</v>
      </c>
    </row>
    <row r="21" spans="1:2">
      <c r="A21" s="13" t="s">
        <v>76</v>
      </c>
    </row>
    <row r="39" spans="1:1">
      <c r="A39" s="13" t="s">
        <v>46</v>
      </c>
    </row>
    <row r="40" spans="1:1">
      <c r="A40" t="s">
        <v>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448A-B51D-4CEE-BD2F-5670AE1E957A}">
  <dimension ref="A1:I44"/>
  <sheetViews>
    <sheetView zoomScale="99" zoomScaleNormal="55" workbookViewId="0">
      <selection activeCell="A24" sqref="A24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52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45</v>
      </c>
    </row>
    <row r="15" spans="1:9">
      <c r="A15" s="6" t="s">
        <v>25</v>
      </c>
      <c r="B15" t="s">
        <v>27</v>
      </c>
    </row>
    <row r="16" spans="1:9">
      <c r="A16" s="7" t="s">
        <v>20</v>
      </c>
      <c r="B16">
        <v>55000</v>
      </c>
    </row>
    <row r="17" spans="1:2">
      <c r="A17" s="7" t="s">
        <v>9</v>
      </c>
      <c r="B17">
        <v>50000</v>
      </c>
    </row>
    <row r="18" spans="1:2">
      <c r="A18" s="7" t="s">
        <v>13</v>
      </c>
      <c r="B18">
        <v>48000</v>
      </c>
    </row>
    <row r="19" spans="1:2">
      <c r="A19" s="7" t="s">
        <v>21</v>
      </c>
      <c r="B19">
        <v>20000</v>
      </c>
    </row>
    <row r="20" spans="1:2">
      <c r="A20" s="7" t="s">
        <v>16</v>
      </c>
      <c r="B20">
        <v>12000</v>
      </c>
    </row>
    <row r="21" spans="1:2">
      <c r="A21" s="7" t="s">
        <v>26</v>
      </c>
      <c r="B21">
        <v>185000</v>
      </c>
    </row>
    <row r="24" spans="1:2">
      <c r="A24" s="13" t="s">
        <v>76</v>
      </c>
    </row>
    <row r="43" spans="1:1">
      <c r="A43" s="13" t="s">
        <v>46</v>
      </c>
    </row>
    <row r="44" spans="1:1">
      <c r="A44" t="s">
        <v>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4708-94DE-4EE9-9932-A1AAF8256E3C}">
  <dimension ref="A1:I21"/>
  <sheetViews>
    <sheetView workbookViewId="0">
      <selection activeCell="D12" sqref="D12"/>
    </sheetView>
  </sheetViews>
  <sheetFormatPr defaultRowHeight="14.25"/>
  <cols>
    <col min="2" max="2" width="9.9296875" style="3" bestFit="1" customWidth="1"/>
  </cols>
  <sheetData>
    <row r="1" spans="1:9">
      <c r="A1" t="s">
        <v>75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4" spans="1:9">
      <c r="A14" s="13" t="s">
        <v>46</v>
      </c>
    </row>
    <row r="15" spans="1:9">
      <c r="A15" t="s">
        <v>57</v>
      </c>
    </row>
    <row r="18" spans="1:1">
      <c r="A18" s="13" t="s">
        <v>58</v>
      </c>
    </row>
    <row r="19" spans="1:1">
      <c r="A19" s="14" t="s">
        <v>59</v>
      </c>
    </row>
    <row r="20" spans="1:1">
      <c r="A20" s="14" t="s">
        <v>60</v>
      </c>
    </row>
    <row r="21" spans="1:1">
      <c r="A21" s="1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F348-23C9-486E-B225-84FD672617A8}">
  <dimension ref="A1:I43"/>
  <sheetViews>
    <sheetView workbookViewId="0">
      <selection activeCell="A24" sqref="A24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53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45</v>
      </c>
    </row>
    <row r="15" spans="1:9">
      <c r="A15" s="6" t="s">
        <v>25</v>
      </c>
      <c r="B15" t="s">
        <v>27</v>
      </c>
    </row>
    <row r="16" spans="1:9">
      <c r="A16" s="7" t="s">
        <v>11</v>
      </c>
      <c r="B16">
        <v>105000</v>
      </c>
    </row>
    <row r="17" spans="1:2">
      <c r="A17" s="7" t="s">
        <v>15</v>
      </c>
      <c r="B17">
        <v>30000</v>
      </c>
    </row>
    <row r="18" spans="1:2">
      <c r="A18" s="7" t="s">
        <v>23</v>
      </c>
      <c r="B18">
        <v>20000</v>
      </c>
    </row>
    <row r="19" spans="1:2">
      <c r="A19" s="7" t="s">
        <v>24</v>
      </c>
      <c r="B19">
        <v>18000</v>
      </c>
    </row>
    <row r="20" spans="1:2">
      <c r="A20" s="7" t="s">
        <v>18</v>
      </c>
      <c r="B20">
        <v>12000</v>
      </c>
    </row>
    <row r="21" spans="1:2">
      <c r="A21" s="7" t="s">
        <v>26</v>
      </c>
      <c r="B21">
        <v>185000</v>
      </c>
    </row>
    <row r="24" spans="1:2">
      <c r="A24" s="13" t="s">
        <v>76</v>
      </c>
    </row>
    <row r="42" spans="1:1">
      <c r="A42" s="13" t="s">
        <v>46</v>
      </c>
    </row>
    <row r="43" spans="1:1">
      <c r="A43" t="s">
        <v>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9695-F7D4-436F-9B72-8DE30C4B1E06}">
  <dimension ref="A1:I41"/>
  <sheetViews>
    <sheetView workbookViewId="0">
      <selection activeCell="D21" sqref="D21"/>
    </sheetView>
  </sheetViews>
  <sheetFormatPr defaultRowHeight="14.25"/>
  <cols>
    <col min="1" max="1" width="11.9296875" bestFit="1" customWidth="1"/>
    <col min="2" max="3" width="11" bestFit="1" customWidth="1"/>
  </cols>
  <sheetData>
    <row r="1" spans="1:9">
      <c r="A1" s="13" t="s">
        <v>54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45</v>
      </c>
    </row>
    <row r="15" spans="1:9">
      <c r="A15" s="6" t="s">
        <v>25</v>
      </c>
      <c r="B15" t="s">
        <v>30</v>
      </c>
    </row>
    <row r="16" spans="1:9">
      <c r="A16" s="7" t="s">
        <v>10</v>
      </c>
      <c r="B16">
        <v>17000</v>
      </c>
    </row>
    <row r="17" spans="1:2">
      <c r="A17" s="7" t="s">
        <v>14</v>
      </c>
      <c r="B17">
        <v>8000</v>
      </c>
    </row>
    <row r="18" spans="1:2">
      <c r="A18" s="7" t="s">
        <v>22</v>
      </c>
      <c r="B18">
        <v>3500</v>
      </c>
    </row>
    <row r="19" spans="1:2">
      <c r="A19" s="7" t="s">
        <v>17</v>
      </c>
      <c r="B19">
        <v>2500</v>
      </c>
    </row>
    <row r="20" spans="1:2">
      <c r="A20" s="7" t="s">
        <v>26</v>
      </c>
      <c r="B20">
        <v>31000</v>
      </c>
    </row>
    <row r="22" spans="1:2">
      <c r="A22" s="13" t="s">
        <v>76</v>
      </c>
    </row>
    <row r="40" spans="1:1">
      <c r="A40" s="13" t="s">
        <v>46</v>
      </c>
    </row>
    <row r="41" spans="1:1">
      <c r="A41" t="s">
        <v>65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7B6-99EB-4DCF-88B4-1821BBF24B1A}">
  <dimension ref="A1:I40"/>
  <sheetViews>
    <sheetView workbookViewId="0">
      <selection activeCell="A21" sqref="A21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55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45</v>
      </c>
    </row>
    <row r="15" spans="1:9">
      <c r="A15" s="6" t="s">
        <v>25</v>
      </c>
      <c r="B15" t="s">
        <v>27</v>
      </c>
    </row>
    <row r="16" spans="1:9">
      <c r="A16" s="7" t="s">
        <v>29</v>
      </c>
      <c r="B16">
        <v>93000</v>
      </c>
    </row>
    <row r="17" spans="1:2">
      <c r="A17" s="7" t="s">
        <v>28</v>
      </c>
      <c r="B17">
        <v>92000</v>
      </c>
    </row>
    <row r="18" spans="1:2">
      <c r="A18" s="7" t="s">
        <v>26</v>
      </c>
      <c r="B18">
        <v>185000</v>
      </c>
    </row>
    <row r="21" spans="1:2">
      <c r="A21" s="13" t="s">
        <v>76</v>
      </c>
    </row>
    <row r="39" spans="1:1">
      <c r="A39" s="13" t="s">
        <v>46</v>
      </c>
    </row>
    <row r="40" spans="1:1">
      <c r="A40" t="s">
        <v>66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32DE-33E4-421D-A94C-FF8FC87BD08B}">
  <dimension ref="A1:I42"/>
  <sheetViews>
    <sheetView workbookViewId="0">
      <selection activeCell="F45" sqref="F45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56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45</v>
      </c>
    </row>
    <row r="15" spans="1:9">
      <c r="A15" s="6" t="s">
        <v>25</v>
      </c>
      <c r="B15" t="s">
        <v>27</v>
      </c>
    </row>
    <row r="16" spans="1:9">
      <c r="A16" s="7" t="s">
        <v>11</v>
      </c>
      <c r="B16">
        <v>105000</v>
      </c>
    </row>
    <row r="17" spans="1:2">
      <c r="A17" s="7" t="s">
        <v>15</v>
      </c>
      <c r="B17">
        <v>30000</v>
      </c>
    </row>
    <row r="18" spans="1:2">
      <c r="A18" s="7" t="s">
        <v>23</v>
      </c>
      <c r="B18">
        <v>20000</v>
      </c>
    </row>
    <row r="19" spans="1:2">
      <c r="A19" s="7" t="s">
        <v>24</v>
      </c>
      <c r="B19">
        <v>18000</v>
      </c>
    </row>
    <row r="20" spans="1:2">
      <c r="A20" s="7" t="s">
        <v>18</v>
      </c>
      <c r="B20">
        <v>12000</v>
      </c>
    </row>
    <row r="21" spans="1:2">
      <c r="A21" s="7" t="s">
        <v>26</v>
      </c>
      <c r="B21">
        <v>185000</v>
      </c>
    </row>
    <row r="24" spans="1:2">
      <c r="A24" s="13" t="s">
        <v>76</v>
      </c>
    </row>
    <row r="41" spans="1:1">
      <c r="A41" s="13" t="s">
        <v>46</v>
      </c>
    </row>
    <row r="42" spans="1:1">
      <c r="A42" t="s">
        <v>67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D7C-B5E8-4902-967C-382455D17E65}">
  <dimension ref="A1:I19"/>
  <sheetViews>
    <sheetView workbookViewId="0">
      <selection activeCell="A17" sqref="A17"/>
    </sheetView>
  </sheetViews>
  <sheetFormatPr defaultRowHeight="14.25"/>
  <cols>
    <col min="2" max="2" width="9.9296875" style="3" bestFit="1" customWidth="1"/>
  </cols>
  <sheetData>
    <row r="1" spans="1:9">
      <c r="A1" s="13" t="s">
        <v>62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46</v>
      </c>
    </row>
    <row r="14" spans="1:9">
      <c r="A14" t="s">
        <v>68</v>
      </c>
    </row>
    <row r="17" spans="1:1">
      <c r="A17" s="13" t="s">
        <v>58</v>
      </c>
    </row>
    <row r="18" spans="1:1">
      <c r="A18" s="14" t="s">
        <v>69</v>
      </c>
    </row>
    <row r="19" spans="1:1">
      <c r="A19" s="14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DDCB-1C2C-41B3-8BFB-2075EE9CFD21}">
  <dimension ref="A1:I19"/>
  <sheetViews>
    <sheetView workbookViewId="0">
      <selection activeCell="I19" sqref="I19"/>
    </sheetView>
  </sheetViews>
  <sheetFormatPr defaultRowHeight="14.25"/>
  <cols>
    <col min="2" max="2" width="9.9296875" style="3" bestFit="1" customWidth="1"/>
  </cols>
  <sheetData>
    <row r="1" spans="1:9">
      <c r="A1" s="13" t="s">
        <v>63</v>
      </c>
    </row>
    <row r="3" spans="1:9">
      <c r="A3" s="13" t="s">
        <v>74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46</v>
      </c>
    </row>
    <row r="14" spans="1:9">
      <c r="A14" t="s">
        <v>71</v>
      </c>
    </row>
    <row r="17" spans="1:1">
      <c r="A17" s="13" t="s">
        <v>58</v>
      </c>
    </row>
    <row r="18" spans="1:1">
      <c r="A18" s="14" t="s">
        <v>72</v>
      </c>
    </row>
    <row r="19" spans="1:1">
      <c r="A19" s="14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9E0A-BEBF-4D42-B1B2-CF9B5DD2140E}">
  <dimension ref="A1:I13"/>
  <sheetViews>
    <sheetView workbookViewId="0">
      <selection activeCell="G18" sqref="G18"/>
    </sheetView>
  </sheetViews>
  <sheetFormatPr defaultRowHeight="14.25"/>
  <cols>
    <col min="1" max="1" width="9.3984375" customWidth="1"/>
    <col min="2" max="2" width="9.9296875" style="3" bestFit="1" customWidth="1"/>
    <col min="6" max="6" width="9.9296875" bestFit="1" customWidth="1"/>
  </cols>
  <sheetData>
    <row r="1" spans="1:9" ht="28.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>
      <c r="A2" s="2">
        <v>1001</v>
      </c>
      <c r="B2" s="4">
        <v>46027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50000</v>
      </c>
      <c r="H2" s="2">
        <v>8000</v>
      </c>
      <c r="I2" s="2">
        <v>2</v>
      </c>
    </row>
    <row r="3" spans="1:9" ht="28.5">
      <c r="A3" s="2">
        <v>1002</v>
      </c>
      <c r="B3" s="4">
        <v>46030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30000</v>
      </c>
      <c r="H3" s="2">
        <v>5000</v>
      </c>
      <c r="I3" s="2">
        <v>3</v>
      </c>
    </row>
    <row r="4" spans="1:9">
      <c r="A4" s="2">
        <v>1003</v>
      </c>
      <c r="B4" s="4">
        <v>46037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12000</v>
      </c>
      <c r="H4" s="2">
        <v>2500</v>
      </c>
      <c r="I4" s="2">
        <v>4</v>
      </c>
    </row>
    <row r="5" spans="1:9" ht="28.5">
      <c r="A5" s="2">
        <v>1004</v>
      </c>
      <c r="B5" s="4">
        <v>46056</v>
      </c>
      <c r="C5" s="2" t="s">
        <v>20</v>
      </c>
      <c r="D5" s="2" t="s">
        <v>10</v>
      </c>
      <c r="E5" s="2" t="s">
        <v>11</v>
      </c>
      <c r="F5" s="2" t="s">
        <v>12</v>
      </c>
      <c r="G5" s="2">
        <v>55000</v>
      </c>
      <c r="H5" s="2">
        <v>9000</v>
      </c>
      <c r="I5" s="2">
        <v>2</v>
      </c>
    </row>
    <row r="6" spans="1:9">
      <c r="A6" s="2">
        <v>1005</v>
      </c>
      <c r="B6" s="4">
        <v>46063</v>
      </c>
      <c r="C6" s="2" t="s">
        <v>21</v>
      </c>
      <c r="D6" s="2" t="s">
        <v>22</v>
      </c>
      <c r="E6" s="2" t="s">
        <v>23</v>
      </c>
      <c r="F6" s="2" t="s">
        <v>19</v>
      </c>
      <c r="G6" s="2">
        <v>20000</v>
      </c>
      <c r="H6" s="2">
        <v>3500</v>
      </c>
      <c r="I6" s="2">
        <v>5</v>
      </c>
    </row>
    <row r="7" spans="1:9" ht="28.5">
      <c r="A7" s="2">
        <v>1006</v>
      </c>
      <c r="B7" s="4">
        <v>46071</v>
      </c>
      <c r="C7" s="2" t="s">
        <v>13</v>
      </c>
      <c r="D7" s="2" t="s">
        <v>14</v>
      </c>
      <c r="E7" s="2" t="s">
        <v>24</v>
      </c>
      <c r="F7" s="2" t="s">
        <v>12</v>
      </c>
      <c r="G7" s="2">
        <v>18000</v>
      </c>
      <c r="H7" s="2">
        <v>3000</v>
      </c>
      <c r="I7" s="2">
        <v>2</v>
      </c>
    </row>
    <row r="13" spans="1:9">
      <c r="F1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A9A7-2CF3-4F80-97B3-D42C61E54127}">
  <dimension ref="A1:N29"/>
  <sheetViews>
    <sheetView workbookViewId="0">
      <selection activeCell="N11" sqref="N11"/>
    </sheetView>
  </sheetViews>
  <sheetFormatPr defaultRowHeight="14.25"/>
  <cols>
    <col min="1" max="1" width="9.73046875" customWidth="1"/>
    <col min="2" max="2" width="11.73046875" style="3" customWidth="1"/>
    <col min="3" max="3" width="10.46484375" customWidth="1"/>
    <col min="6" max="6" width="9.9296875" bestFit="1" customWidth="1"/>
    <col min="9" max="9" width="9.33203125" customWidth="1"/>
    <col min="10" max="10" width="9.06640625" style="10"/>
  </cols>
  <sheetData>
    <row r="1" spans="1:12" ht="28.5">
      <c r="A1" s="1" t="s">
        <v>0</v>
      </c>
      <c r="B1" s="5" t="s">
        <v>1</v>
      </c>
      <c r="C1" s="1" t="s">
        <v>2</v>
      </c>
      <c r="D1" s="1" t="s">
        <v>3</v>
      </c>
      <c r="E1" s="1" t="s">
        <v>31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35</v>
      </c>
      <c r="K1" s="1" t="s">
        <v>36</v>
      </c>
      <c r="L1" s="1" t="s">
        <v>37</v>
      </c>
    </row>
    <row r="2" spans="1:12" ht="28.5">
      <c r="A2" s="2">
        <v>1003</v>
      </c>
      <c r="B2" s="4">
        <v>46037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12000</v>
      </c>
      <c r="H2" s="2">
        <v>2500</v>
      </c>
      <c r="I2" s="2">
        <v>4</v>
      </c>
      <c r="J2" s="9">
        <f t="shared" ref="J2:J7" si="0">H2/G2</f>
        <v>0.20833333333333334</v>
      </c>
      <c r="K2" s="2" t="str">
        <f t="shared" ref="K2:K7" si="1">IF(H2&gt;0, "Profitable", "Loss")</f>
        <v>Profitable</v>
      </c>
      <c r="L2" s="2" t="str">
        <f t="shared" ref="L2:L7" si="2">IF(I2&gt;=5, "Large Order", "Small Order")</f>
        <v>Small Order</v>
      </c>
    </row>
    <row r="3" spans="1:12" ht="28.5">
      <c r="A3" s="2">
        <v>1005</v>
      </c>
      <c r="B3" s="4">
        <v>46063</v>
      </c>
      <c r="C3" s="2" t="s">
        <v>21</v>
      </c>
      <c r="D3" s="2" t="s">
        <v>22</v>
      </c>
      <c r="E3" s="2" t="s">
        <v>23</v>
      </c>
      <c r="F3" s="2" t="s">
        <v>19</v>
      </c>
      <c r="G3" s="2">
        <v>20000</v>
      </c>
      <c r="H3" s="2">
        <v>3500</v>
      </c>
      <c r="I3" s="2">
        <v>5</v>
      </c>
      <c r="J3" s="9">
        <f t="shared" si="0"/>
        <v>0.17499999999999999</v>
      </c>
      <c r="K3" s="2" t="str">
        <f t="shared" si="1"/>
        <v>Profitable</v>
      </c>
      <c r="L3" s="2" t="str">
        <f t="shared" si="2"/>
        <v>Large Order</v>
      </c>
    </row>
    <row r="4" spans="1:12" ht="28.5">
      <c r="A4" s="2">
        <v>1002</v>
      </c>
      <c r="B4" s="4">
        <v>46030</v>
      </c>
      <c r="C4" s="2" t="s">
        <v>13</v>
      </c>
      <c r="D4" s="2" t="s">
        <v>14</v>
      </c>
      <c r="E4" s="2" t="s">
        <v>15</v>
      </c>
      <c r="F4" s="2" t="s">
        <v>12</v>
      </c>
      <c r="G4" s="2">
        <v>30000</v>
      </c>
      <c r="H4" s="2">
        <v>5000</v>
      </c>
      <c r="I4" s="2">
        <v>3</v>
      </c>
      <c r="J4" s="9">
        <f t="shared" si="0"/>
        <v>0.16666666666666666</v>
      </c>
      <c r="K4" s="2" t="str">
        <f t="shared" si="1"/>
        <v>Profitable</v>
      </c>
      <c r="L4" s="2" t="str">
        <f t="shared" si="2"/>
        <v>Small Order</v>
      </c>
    </row>
    <row r="5" spans="1:12" ht="28.5">
      <c r="A5" s="2">
        <v>1006</v>
      </c>
      <c r="B5" s="4">
        <v>46071</v>
      </c>
      <c r="C5" s="2" t="s">
        <v>13</v>
      </c>
      <c r="D5" s="2" t="s">
        <v>14</v>
      </c>
      <c r="E5" s="2" t="s">
        <v>24</v>
      </c>
      <c r="F5" s="2" t="s">
        <v>12</v>
      </c>
      <c r="G5" s="2">
        <v>18000</v>
      </c>
      <c r="H5" s="2">
        <v>3000</v>
      </c>
      <c r="I5" s="2">
        <v>2</v>
      </c>
      <c r="J5" s="9">
        <f t="shared" si="0"/>
        <v>0.16666666666666666</v>
      </c>
      <c r="K5" s="2" t="str">
        <f t="shared" si="1"/>
        <v>Profitable</v>
      </c>
      <c r="L5" s="2" t="str">
        <f t="shared" si="2"/>
        <v>Small Order</v>
      </c>
    </row>
    <row r="6" spans="1:12" ht="28.5">
      <c r="A6" s="2">
        <v>1004</v>
      </c>
      <c r="B6" s="4">
        <v>46056</v>
      </c>
      <c r="C6" s="2" t="s">
        <v>20</v>
      </c>
      <c r="D6" s="2" t="s">
        <v>10</v>
      </c>
      <c r="E6" s="2" t="s">
        <v>11</v>
      </c>
      <c r="F6" s="2" t="s">
        <v>12</v>
      </c>
      <c r="G6" s="2">
        <v>55000</v>
      </c>
      <c r="H6" s="2">
        <v>9000</v>
      </c>
      <c r="I6" s="2">
        <v>2</v>
      </c>
      <c r="J6" s="9">
        <f t="shared" si="0"/>
        <v>0.16363636363636364</v>
      </c>
      <c r="K6" s="2" t="str">
        <f t="shared" si="1"/>
        <v>Profitable</v>
      </c>
      <c r="L6" s="2" t="str">
        <f t="shared" si="2"/>
        <v>Small Order</v>
      </c>
    </row>
    <row r="7" spans="1:12" ht="28.5">
      <c r="A7" s="2">
        <v>1001</v>
      </c>
      <c r="B7" s="4">
        <v>46027</v>
      </c>
      <c r="C7" s="2" t="s">
        <v>9</v>
      </c>
      <c r="D7" s="2" t="s">
        <v>10</v>
      </c>
      <c r="E7" s="2"/>
      <c r="F7" s="2" t="s">
        <v>12</v>
      </c>
      <c r="G7" s="2">
        <v>50000</v>
      </c>
      <c r="H7" s="2">
        <v>8000</v>
      </c>
      <c r="I7" s="2">
        <v>2</v>
      </c>
      <c r="J7" s="9">
        <f t="shared" si="0"/>
        <v>0.16</v>
      </c>
      <c r="K7" s="2" t="str">
        <f t="shared" si="1"/>
        <v>Profitable</v>
      </c>
      <c r="L7" s="2" t="str">
        <f t="shared" si="2"/>
        <v>Small Order</v>
      </c>
    </row>
    <row r="13" spans="1:12">
      <c r="F13" s="3"/>
    </row>
    <row r="20" spans="13:14">
      <c r="M20" t="s">
        <v>32</v>
      </c>
      <c r="N20">
        <v>185000</v>
      </c>
    </row>
    <row r="21" spans="13:14">
      <c r="M21" t="s">
        <v>40</v>
      </c>
      <c r="N21">
        <f>AVERAGE(G2:G7)</f>
        <v>30833.333333333332</v>
      </c>
    </row>
    <row r="22" spans="13:14">
      <c r="M22" t="s">
        <v>42</v>
      </c>
      <c r="N22">
        <f>MIN(G2:G7)</f>
        <v>12000</v>
      </c>
    </row>
    <row r="23" spans="13:14">
      <c r="M23" t="s">
        <v>43</v>
      </c>
      <c r="N23">
        <f>MAX(G2:G7)</f>
        <v>55000</v>
      </c>
    </row>
    <row r="24" spans="13:14">
      <c r="M24" t="s">
        <v>34</v>
      </c>
      <c r="N24">
        <f>COUNT(G2:G7)</f>
        <v>6</v>
      </c>
    </row>
    <row r="25" spans="13:14">
      <c r="M25" t="s">
        <v>33</v>
      </c>
      <c r="N25">
        <f>COUNTA(C2:C7)</f>
        <v>6</v>
      </c>
    </row>
    <row r="26" spans="13:14">
      <c r="M26" t="s">
        <v>38</v>
      </c>
      <c r="N26" s="11">
        <v>2500</v>
      </c>
    </row>
    <row r="27" spans="13:14">
      <c r="M27" t="s">
        <v>39</v>
      </c>
      <c r="N27" s="11">
        <v>9000</v>
      </c>
    </row>
    <row r="28" spans="13:14">
      <c r="M28" t="s">
        <v>41</v>
      </c>
      <c r="N28">
        <f>AVERAGE(H2:H7)</f>
        <v>5166.666666666667</v>
      </c>
    </row>
    <row r="29" spans="13:14">
      <c r="M29" t="s">
        <v>44</v>
      </c>
      <c r="N29">
        <f>SUM(H2:H7)</f>
        <v>31000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R1 - Regional Performance</vt:lpstr>
      <vt:lpstr>R2 - Revenue Trend</vt:lpstr>
      <vt:lpstr>R3 - Customer Performance</vt:lpstr>
      <vt:lpstr>R4 - Customer Loss</vt:lpstr>
      <vt:lpstr>R5 - Product Performance</vt:lpstr>
      <vt:lpstr>R6 - Regional Profit</vt:lpstr>
      <vt:lpstr>R7 - Monthly Sales</vt:lpstr>
      <vt:lpstr>R8 - Category Revenue</vt:lpstr>
      <vt:lpstr>R9 - Cancellations</vt:lpstr>
      <vt:lpstr>R10 - Segment Sales</vt:lpstr>
      <vt:lpstr>Week_1 Practice</vt:lpstr>
      <vt:lpstr>Week_2 Day1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RD</dc:creator>
  <cp:lastModifiedBy>Anusha RD</cp:lastModifiedBy>
  <dcterms:created xsi:type="dcterms:W3CDTF">2026-09-28T02:32:10Z</dcterms:created>
  <dcterms:modified xsi:type="dcterms:W3CDTF">2026-09-30T18:26:01Z</dcterms:modified>
</cp:coreProperties>
</file>